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work/teaching/ENSF409/admin/Project/2026_380/rubrics/"/>
    </mc:Choice>
  </mc:AlternateContent>
  <xr:revisionPtr revIDLastSave="0" documentId="13_ncr:1_{9E6A577D-07B3-ED40-A183-CB1ABB9B15C4}" xr6:coauthVersionLast="47" xr6:coauthVersionMax="47" xr10:uidLastSave="{00000000-0000-0000-0000-000000000000}"/>
  <bookViews>
    <workbookView xWindow="240" yWindow="500" windowWidth="27040" windowHeight="13900" xr2:uid="{E529A8E5-0719-CC4F-87F3-C2D24F96B83B}"/>
  </bookViews>
  <sheets>
    <sheet name="Overview" sheetId="5" r:id="rId1"/>
    <sheet name="Design" sheetId="1" r:id="rId2"/>
    <sheet name="Code" sheetId="2" r:id="rId3"/>
    <sheet name="Testing" sheetId="4" r:id="rId4"/>
    <sheet name="Bonu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5" l="1"/>
  <c r="F41" i="2"/>
  <c r="F42" i="2"/>
  <c r="F43" i="2"/>
  <c r="F44" i="2"/>
  <c r="F45" i="2"/>
  <c r="F40" i="2"/>
  <c r="F39" i="2"/>
  <c r="F38" i="2"/>
  <c r="F32" i="2"/>
  <c r="F31" i="2"/>
  <c r="F25" i="2"/>
  <c r="F24" i="2"/>
  <c r="F23" i="2"/>
  <c r="F22" i="2"/>
  <c r="F6" i="1"/>
  <c r="F7" i="1"/>
  <c r="F8" i="1"/>
  <c r="G13" i="1"/>
  <c r="F3" i="6"/>
  <c r="F4" i="6" s="1"/>
  <c r="F5" i="6" s="1"/>
  <c r="D6" i="5" s="1"/>
  <c r="F8" i="4"/>
  <c r="F10" i="4"/>
  <c r="F35" i="2"/>
  <c r="F36" i="2"/>
  <c r="F30" i="2"/>
  <c r="F33" i="2"/>
  <c r="F34" i="2"/>
  <c r="G20" i="4"/>
  <c r="F37" i="2"/>
  <c r="F18" i="4"/>
  <c r="F19" i="4"/>
  <c r="F14" i="2"/>
  <c r="G48" i="2"/>
  <c r="F13" i="2"/>
  <c r="F12" i="2"/>
  <c r="F10" i="2"/>
  <c r="F46" i="2"/>
  <c r="F9" i="1"/>
  <c r="F15" i="2"/>
  <c r="F16" i="2"/>
  <c r="F17" i="2"/>
  <c r="F18" i="2"/>
  <c r="F19" i="2"/>
  <c r="F20" i="2"/>
  <c r="F21" i="2"/>
  <c r="F26" i="2"/>
  <c r="F27" i="2"/>
  <c r="F28" i="2"/>
  <c r="F29" i="2"/>
  <c r="F47" i="2"/>
  <c r="F11" i="4"/>
  <c r="F12" i="4"/>
  <c r="F15" i="4"/>
  <c r="F16" i="4"/>
  <c r="F17" i="4"/>
  <c r="F14" i="4"/>
  <c r="F10" i="1"/>
  <c r="F11" i="1"/>
  <c r="F12" i="1"/>
  <c r="F13" i="1" l="1"/>
  <c r="F20" i="4"/>
  <c r="F21" i="4" s="1"/>
  <c r="F48" i="2"/>
  <c r="F49" i="2" s="1"/>
  <c r="D4" i="5" s="1"/>
  <c r="F14" i="1"/>
  <c r="D5" i="5" l="1"/>
  <c r="D3" i="5"/>
  <c r="D8" i="5" l="1"/>
</calcChain>
</file>

<file path=xl/sharedStrings.xml><?xml version="1.0" encoding="utf-8"?>
<sst xmlns="http://schemas.openxmlformats.org/spreadsheetml/2006/main" count="233" uniqueCount="135">
  <si>
    <t>UCID</t>
  </si>
  <si>
    <t xml:space="preserve">Name </t>
  </si>
  <si>
    <t>Measure</t>
  </si>
  <si>
    <t>Weight</t>
  </si>
  <si>
    <t>Evaluation</t>
  </si>
  <si>
    <t>Score</t>
  </si>
  <si>
    <t>Design</t>
  </si>
  <si>
    <t xml:space="preserve">Design is evaluated by the UML submission. </t>
  </si>
  <si>
    <t>Code</t>
  </si>
  <si>
    <t>Code is evaluated by running the program and looking at the code.</t>
  </si>
  <si>
    <t>Testing</t>
  </si>
  <si>
    <t>Testing is evaluated by running the tests, reviewing the tests, and calculating test coverage.</t>
  </si>
  <si>
    <t>The grade will be entered in D2L as the following value out of 100 (rounded to nearest 10th):</t>
  </si>
  <si>
    <t>Design (30%)</t>
  </si>
  <si>
    <t>Important: If the 'Readability' requirements are not all met, the other measures will not be evaluated and you will receive zero for Design. Readability contributes no points to the total. For Yes/No options, the project must completely meet the requirement to receive a Yes.</t>
  </si>
  <si>
    <t>Category</t>
  </si>
  <si>
    <t>Rating</t>
  </si>
  <si>
    <t>Options</t>
  </si>
  <si>
    <t>Points</t>
  </si>
  <si>
    <t>Out of</t>
  </si>
  <si>
    <t>The UML diagram details the program design, showing class relationships, methods, class and instance variables, parameter types, return value types, access modifiers (public, private, etc), other modifiers (i.e., static, final and abstract) and cardinalities. The class containing main() does not need to be shown if it contains no other methods. The database can be depicted as a single rectangle.</t>
  </si>
  <si>
    <t>Readability</t>
  </si>
  <si>
    <t>Yes/No</t>
  </si>
  <si>
    <t>The diagram is consistent (e.g., relationships are supported by data members) and appears to be an accurate representation of the code.</t>
  </si>
  <si>
    <t>Diagram is legible - lines are tidy, text can be read, and fits on the page(s) neatly. The file is a PDF.</t>
  </si>
  <si>
    <t>Each class has a clear, distinct purpose (encapsulation)</t>
  </si>
  <si>
    <t>OOP</t>
  </si>
  <si>
    <t>Inheritance and/or interfaces are used in the design, and used appropriately</t>
  </si>
  <si>
    <t>Aggregation and/or composition is used in the design, and is used appropriately</t>
  </si>
  <si>
    <t>Yes (4) / No (0)</t>
  </si>
  <si>
    <t>Public methods are not assumed to receive correct imput and throw exceptions accordingly</t>
  </si>
  <si>
    <t>Java</t>
  </si>
  <si>
    <t>90-100% (4),
70-89% (3),
50-69% (2), 
&lt;50% (0)</t>
  </si>
  <si>
    <t>Class names are appropriate (singular, indicate purpose)</t>
  </si>
  <si>
    <t>Method names indicate expected behavior and follow naming conventions</t>
  </si>
  <si>
    <t>Variable types (including data structures) are appropriate for purpose</t>
  </si>
  <si>
    <t>Grader Remarks</t>
  </si>
  <si>
    <t>Total marks</t>
  </si>
  <si>
    <t>Percentage</t>
  </si>
  <si>
    <t>Code 
(30%)</t>
  </si>
  <si>
    <t>Important: If the code does not meet all the requirements in the 'Compatibility' category, the other measures will not be evaluated and you will receive a zero for Code. Compatibility contributes no points toward the total. The code will be run with different test data than was provided as an example. All evaluations will be based on how the code reacts with our testing data. For Yes/No options, the project must completely meet the requirement to receive a Yes.</t>
  </si>
  <si>
    <t>The code is provided as a zipfile, with the UCID as the name of the file (e.g., UCID 12345678 is 12345678.zip).</t>
  </si>
  <si>
    <t>Compatibility</t>
  </si>
  <si>
    <r>
      <t xml:space="preserve">The edu.ucalgary.oop package is used, and all code is located in the directory: </t>
    </r>
    <r>
      <rPr>
        <sz val="12"/>
        <color theme="1"/>
        <rFont val="Aptos Narrow (Body)"/>
      </rPr>
      <t>src/edu/ucalgary/oop</t>
    </r>
  </si>
  <si>
    <t>All input data files are located in the directory: data</t>
  </si>
  <si>
    <t>The code (excluding tests) can be compiled from the command-line using Java 21, using only the following external libraries: postgresql.</t>
  </si>
  <si>
    <t>The code can be run from the command-line, using only the following external libraries: postgresql.</t>
  </si>
  <si>
    <t>The code connects to the PostgreSQL database using the username 'oop' and the password 'ucalgary'.</t>
  </si>
  <si>
    <t>The database uses the design which was provided, without modifications.</t>
  </si>
  <si>
    <t>The application can be run as edu.ucalgary.oop.Main (i.e., main() is located in a class named Main.java)</t>
  </si>
  <si>
    <t>Documentation can be generated for all (code, not test) files using javadoc.</t>
  </si>
  <si>
    <t>Dev docs</t>
  </si>
  <si>
    <t>For the following 'Dev docs' evaluations, one class is randomly selected. Selected class:</t>
  </si>
  <si>
    <t>File contains appropriate header information (author, version, date).</t>
  </si>
  <si>
    <t>Yes (1) / No (0)</t>
  </si>
  <si>
    <t>Every method is adequately documented with @param, @return and information about the purpose.</t>
  </si>
  <si>
    <t>Yes (5) / No (0)</t>
  </si>
  <si>
    <t>The user interface to the application allows relief workers to enter information about disaster victims, including their relationships, medical records, and location.  it allows inquiries to be logged and supplies to be allocated to an individual or location. Existing data can be modified and viewed.</t>
  </si>
  <si>
    <t>UI Feature</t>
  </si>
  <si>
    <t>Yes (full points)
No (0 points)</t>
  </si>
  <si>
    <t>The user interface enforces data type validity (data which is outside of range or incorrect type is not inserted)</t>
  </si>
  <si>
    <t>The user interface allows user to correct errors (e.g., typing B instead of a number 1-4) and lets them know what appropriate values are</t>
  </si>
  <si>
    <t>When the program cannot recover from an error, it appends to the logfile errorlog.txt with timestamp and exception information</t>
  </si>
  <si>
    <t>When the program cannot recover from an error, it gives the user a message and exits cleanly</t>
  </si>
  <si>
    <t>The user interface does not require unnecessary typing</t>
  </si>
  <si>
    <t>DB Feature</t>
  </si>
  <si>
    <t>The program is populated with data from the database at startup</t>
  </si>
  <si>
    <t>The user's additions and modifications are reflected in the database</t>
  </si>
  <si>
    <t>The program has an option for the user to stop running the program. It is possible to perform all tasks without needing to exit the program (there is navigation between menu levels).</t>
  </si>
  <si>
    <t>Functional</t>
  </si>
  <si>
    <t>The program does not crash during evaluation.</t>
  </si>
  <si>
    <t>Testing
(25%)</t>
  </si>
  <si>
    <t>Important: If the tests do not meet all the requirements in the 'Compatibility' category, the other measures will not be evaluated and the you will receive a zero for Testing. Compatibility contributes no points toward the total. For Yes/No options, the project must completely meet the requirement to receive a Yes.</t>
  </si>
  <si>
    <t>The edu.ucalgary.oop package is used, and tests are in test/edu/ucalgary/oop</t>
  </si>
  <si>
    <t>The tests can be compiled from the command-line, using only the following external libraries: JUnit 4, hamcrest.</t>
  </si>
  <si>
    <t>The tests can be run from the command-line, using only the following external libraries: JUnit 4, hamcrest.</t>
  </si>
  <si>
    <t>There are no tests which involve connecting to the database or user interface.</t>
  </si>
  <si>
    <t>All test files include 'Test' in the name. Only test files include 'Test' in the name.</t>
  </si>
  <si>
    <t>Code coverage is good (a lower percentage is allowed for top marks to account for the user interface and database connection not being tested)</t>
  </si>
  <si>
    <t>Coverage</t>
  </si>
  <si>
    <t>65-100% (15),50-64% (10), 
40-49% (5),&lt;40% (0)</t>
  </si>
  <si>
    <t>All (15), 1-3 missing (10), 4-7 missing (5), &gt; 7 missing (0)</t>
  </si>
  <si>
    <t>All tests pass as provided.</t>
  </si>
  <si>
    <t>Pass</t>
  </si>
  <si>
    <t>Yes (5) /No (0)</t>
  </si>
  <si>
    <t>Tests do not have a dependency on existing external files (if files are needed, they are written by tests and cleaned by tests).</t>
  </si>
  <si>
    <t>Tests use AAA structure.</t>
  </si>
  <si>
    <t>All 3 tests meet criteria (3), 
two tests meet criteria (2), 
one test meets criteria (1),
no tests meet criteria (0)</t>
  </si>
  <si>
    <t>Tests have meaningful names which convey information about testing scenario.</t>
  </si>
  <si>
    <t>Tests follow Java naming convention (begin with 'test').</t>
  </si>
  <si>
    <t>Tests have useful error messages (except in cases where exception is expected, this point is automatically given).</t>
  </si>
  <si>
    <t>Tests only test a single scenario (usually only one assert statement).</t>
  </si>
  <si>
    <t>Tests are self-contained (setup information may be in @Before).</t>
  </si>
  <si>
    <t>Bonus (2%)</t>
  </si>
  <si>
    <t>Before we begin grading the projects, we will select an implementation recommendation to apply to the entire class. You will not know before submitting your project which recommendation will be chosen. If you implemented the recommendation (correctly), you will receive a bonus.</t>
  </si>
  <si>
    <t>One implementation recommendation is selected. Selected recommendation:</t>
  </si>
  <si>
    <t>Bonus</t>
  </si>
  <si>
    <t>Yes / No</t>
  </si>
  <si>
    <t>The bonus may be given based on recommended implementation guidance.</t>
  </si>
  <si>
    <t>Total points (out of 100) - Note: Your mark cannot exceed 100, even with the bonus.</t>
  </si>
  <si>
    <t>Three test concepts based on the IA features will be checked in each submission. For each concept, the grader will look for a test in the appropriate class that addresses the concept. If such a test exists, it will be evaluated for the criteria below. If no such test exists, the criteria will be marked as not met. The selected concepts were:</t>
  </si>
  <si>
    <t>One new class is examined manually at random to evaluate the next test coverage assessment. The class is chosen at random and is different for each student. Name of evaluated class:</t>
  </si>
  <si>
    <t>Expected cases, edge cases, and boundary conditions have been considered.</t>
  </si>
  <si>
    <t>Only parts of the diagram related to new features are assessed for OOP and Java categories.</t>
  </si>
  <si>
    <t>90-100% (10),
70-89% (6),
50-69% (4), 
&lt;50% (0)</t>
  </si>
  <si>
    <t>Logging Feature</t>
  </si>
  <si>
    <t>Log file is correctly named (e.g., action_log.txt), placed in the data/ directory, and plain text.</t>
  </si>
  <si>
    <t>Each log entry includes action type, date, and description.</t>
  </si>
  <si>
    <t>Logs do NOT contain failed operations, application errors, or system updates</t>
  </si>
  <si>
    <t>Log entries are generated for user-triggered adds, updates, and deletes.</t>
  </si>
  <si>
    <t>Log format is consistent.</t>
  </si>
  <si>
    <t>Del. Feature</t>
  </si>
  <si>
    <t>Age Feature</t>
  </si>
  <si>
    <t>Approximate age can be inserted</t>
  </si>
  <si>
    <t>Victim cannot have both birthdate and approximate age</t>
  </si>
  <si>
    <t>Approximate age can be updated to a birthdate</t>
  </si>
  <si>
    <t>Birthdate cannot be updated to approximate age</t>
  </si>
  <si>
    <t>Perish. Feature</t>
  </si>
  <si>
    <t>Perishable supplies have an expiry date field; non-perishable do not</t>
  </si>
  <si>
    <t>System warns user of existing expired items when viewing supplies.</t>
  </si>
  <si>
    <t>UI provides clear process with warnings/confirmations for hard deletion</t>
  </si>
  <si>
    <t>Soft delete hides victim and related data from UI, but it is still in the database</t>
  </si>
  <si>
    <t>Hard delete removes victim and all related data from program and database</t>
  </si>
  <si>
    <t>UI prevents allocation of expired supplies to victim (supplies are not visible for allocation)</t>
  </si>
  <si>
    <t>Culture Feature</t>
  </si>
  <si>
    <t>Program loads available_requirements.ser from resources at startup</t>
  </si>
  <si>
    <t>UI allows setting/updating requirements per victim</t>
  </si>
  <si>
    <t>Victim cannot have more than one requirement per category</t>
  </si>
  <si>
    <t>Requirements persist in database between runs</t>
  </si>
  <si>
    <t>Skill Feature</t>
  </si>
  <si>
    <t>UI allows adding/removing skills to/from a victim</t>
  </si>
  <si>
    <t>Skills are searchable by category</t>
  </si>
  <si>
    <t>Soft-deleted victims do not appear in skill searches</t>
  </si>
  <si>
    <t>Medical skills require certification type and expiry; language skills track capabilities; trade skills have fixed types (check one skill at random)</t>
  </si>
  <si>
    <t>Victim cannot register the same skill type more than once (check one skill  at random)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</si>
</sst>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theme="1"/>
      <name val="Aptos Narrow"/>
      <family val="2"/>
      <scheme val="minor"/>
    </font>
    <font>
      <i/>
      <sz val="12"/>
      <color theme="1"/>
      <name val="Aptos Narrow"/>
      <family val="2"/>
      <scheme val="minor"/>
    </font>
    <font>
      <b/>
      <sz val="12"/>
      <color theme="1"/>
      <name val="Aptos Narrow"/>
      <family val="2"/>
      <scheme val="minor"/>
    </font>
    <font>
      <b/>
      <sz val="12"/>
      <color theme="0"/>
      <name val="Aptos Narrow"/>
      <family val="2"/>
      <scheme val="minor"/>
    </font>
    <font>
      <b/>
      <i/>
      <sz val="12"/>
      <color theme="1"/>
      <name val="Aptos Narrow"/>
      <family val="2"/>
      <scheme val="minor"/>
    </font>
    <font>
      <sz val="12"/>
      <color theme="1"/>
      <name val="Aptos Narrow"/>
      <family val="2"/>
      <scheme val="minor"/>
    </font>
    <font>
      <sz val="12"/>
      <color theme="1"/>
      <name val="Aptos Narrow (Body)"/>
    </font>
    <font>
      <b/>
      <sz val="12"/>
      <color theme="0"/>
      <name val="Aptos Narrow"/>
      <scheme val="minor"/>
    </font>
    <font>
      <b/>
      <i/>
      <sz val="12"/>
      <color theme="1"/>
      <name val="Aptos Narrow"/>
      <scheme val="minor"/>
    </font>
    <font>
      <b/>
      <sz val="12"/>
      <color theme="1"/>
      <name val="Aptos Narrow"/>
      <scheme val="minor"/>
    </font>
    <font>
      <i/>
      <sz val="12"/>
      <color theme="1"/>
      <name val="Aptos Narrow"/>
      <scheme val="minor"/>
    </font>
  </fonts>
  <fills count="15">
    <fill>
      <patternFill patternType="none"/>
    </fill>
    <fill>
      <patternFill patternType="gray125"/>
    </fill>
    <fill>
      <patternFill patternType="solid">
        <fgColor theme="7"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499984740745262"/>
        <bgColor indexed="64"/>
      </patternFill>
    </fill>
    <fill>
      <patternFill patternType="solid">
        <fgColor theme="1" tint="0.499984740745262"/>
        <bgColor indexed="64"/>
      </patternFill>
    </fill>
    <fill>
      <patternFill patternType="solid">
        <fgColor theme="2"/>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3" tint="0.249977111117893"/>
        <bgColor indexed="64"/>
      </patternFill>
    </fill>
    <fill>
      <patternFill patternType="solid">
        <fgColor theme="7"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89">
    <xf numFmtId="0" fontId="0" fillId="0" borderId="0" xfId="0"/>
    <xf numFmtId="0" fontId="0" fillId="0" borderId="0" xfId="0" applyAlignment="1">
      <alignment wrapText="1"/>
    </xf>
    <xf numFmtId="0" fontId="0" fillId="0" borderId="0" xfId="0" applyAlignment="1">
      <alignment horizontal="center"/>
    </xf>
    <xf numFmtId="0" fontId="3" fillId="3" borderId="1" xfId="0" applyFont="1" applyFill="1" applyBorder="1"/>
    <xf numFmtId="0" fontId="0" fillId="5" borderId="1" xfId="0" applyFill="1" applyBorder="1" applyAlignment="1">
      <alignment wrapText="1"/>
    </xf>
    <xf numFmtId="0" fontId="0" fillId="5" borderId="1" xfId="0" applyFill="1" applyBorder="1"/>
    <xf numFmtId="0" fontId="0" fillId="4" borderId="1" xfId="0" applyFill="1" applyBorder="1" applyAlignment="1">
      <alignment wrapText="1"/>
    </xf>
    <xf numFmtId="0" fontId="0" fillId="4" borderId="1" xfId="0" applyFill="1" applyBorder="1"/>
    <xf numFmtId="0" fontId="0" fillId="4" borderId="1" xfId="0" applyFill="1" applyBorder="1" applyAlignment="1">
      <alignment horizontal="center"/>
    </xf>
    <xf numFmtId="0" fontId="0" fillId="4" borderId="3" xfId="0" applyFill="1" applyBorder="1" applyAlignment="1">
      <alignment horizontal="center" wrapText="1"/>
    </xf>
    <xf numFmtId="0" fontId="0" fillId="5" borderId="1" xfId="0" applyFill="1" applyBorder="1" applyAlignment="1">
      <alignment horizontal="center"/>
    </xf>
    <xf numFmtId="0" fontId="0" fillId="0" borderId="1" xfId="0" applyBorder="1" applyAlignment="1">
      <alignment wrapText="1"/>
    </xf>
    <xf numFmtId="0" fontId="0" fillId="0" borderId="1" xfId="0" applyBorder="1"/>
    <xf numFmtId="0" fontId="0" fillId="7" borderId="1" xfId="0" applyFill="1" applyBorder="1"/>
    <xf numFmtId="0" fontId="0" fillId="8" borderId="1" xfId="0" applyFill="1" applyBorder="1"/>
    <xf numFmtId="0" fontId="0" fillId="0" borderId="0" xfId="0" applyAlignment="1">
      <alignment horizontal="left" vertical="top"/>
    </xf>
    <xf numFmtId="0" fontId="3" fillId="6" borderId="1" xfId="0" applyFont="1" applyFill="1" applyBorder="1"/>
    <xf numFmtId="0" fontId="3" fillId="6" borderId="1" xfId="0" applyFont="1" applyFill="1" applyBorder="1" applyAlignment="1">
      <alignment horizontal="left"/>
    </xf>
    <xf numFmtId="9" fontId="0" fillId="0" borderId="1" xfId="0" applyNumberFormat="1" applyBorder="1"/>
    <xf numFmtId="0" fontId="0" fillId="0" borderId="1" xfId="0" applyBorder="1" applyAlignment="1">
      <alignment horizontal="left" vertical="top"/>
    </xf>
    <xf numFmtId="0" fontId="3" fillId="6" borderId="1" xfId="0" applyFont="1" applyFill="1" applyBorder="1" applyAlignment="1">
      <alignment horizontal="center"/>
    </xf>
    <xf numFmtId="0" fontId="3" fillId="3" borderId="1" xfId="0" applyFont="1" applyFill="1" applyBorder="1" applyAlignment="1">
      <alignment horizontal="right"/>
    </xf>
    <xf numFmtId="0" fontId="4" fillId="2" borderId="1" xfId="0" applyFont="1" applyFill="1" applyBorder="1" applyAlignment="1">
      <alignment wrapText="1"/>
    </xf>
    <xf numFmtId="0" fontId="4" fillId="2" borderId="1" xfId="0" applyFont="1" applyFill="1" applyBorder="1" applyAlignment="1">
      <alignment horizontal="left" wrapText="1"/>
    </xf>
    <xf numFmtId="0" fontId="0" fillId="5" borderId="1" xfId="0" applyFill="1" applyBorder="1" applyAlignment="1">
      <alignment horizontal="center" wrapText="1"/>
    </xf>
    <xf numFmtId="0" fontId="5" fillId="0" borderId="1" xfId="0" applyFont="1" applyBorder="1"/>
    <xf numFmtId="0" fontId="0" fillId="8" borderId="1" xfId="0" applyFill="1" applyBorder="1" applyAlignment="1">
      <alignment wrapText="1"/>
    </xf>
    <xf numFmtId="10" fontId="0" fillId="0" borderId="1" xfId="0" applyNumberFormat="1" applyBorder="1" applyAlignment="1">
      <alignment horizontal="right" vertical="top"/>
    </xf>
    <xf numFmtId="10" fontId="0" fillId="0" borderId="1" xfId="0" applyNumberFormat="1" applyBorder="1" applyAlignment="1">
      <alignment horizontal="right"/>
    </xf>
    <xf numFmtId="10" fontId="0" fillId="9" borderId="1" xfId="0" applyNumberFormat="1" applyFill="1" applyBorder="1"/>
    <xf numFmtId="0" fontId="0" fillId="4" borderId="1" xfId="0" applyFill="1" applyBorder="1" applyAlignment="1">
      <alignment horizontal="center" wrapText="1"/>
    </xf>
    <xf numFmtId="0" fontId="5" fillId="0" borderId="1" xfId="0" applyFont="1" applyBorder="1" applyAlignment="1">
      <alignment wrapText="1"/>
    </xf>
    <xf numFmtId="0" fontId="0" fillId="11" borderId="1" xfId="0" applyFill="1" applyBorder="1"/>
    <xf numFmtId="0" fontId="1" fillId="4" borderId="1" xfId="0" applyFont="1" applyFill="1" applyBorder="1" applyAlignment="1">
      <alignment horizontal="right" wrapText="1"/>
    </xf>
    <xf numFmtId="0" fontId="0" fillId="11" borderId="1" xfId="0" applyFill="1" applyBorder="1" applyAlignment="1">
      <alignment horizontal="center"/>
    </xf>
    <xf numFmtId="0" fontId="5" fillId="4" borderId="1" xfId="0" applyFont="1" applyFill="1" applyBorder="1" applyAlignment="1">
      <alignment horizontal="left" wrapText="1"/>
    </xf>
    <xf numFmtId="0" fontId="0" fillId="4" borderId="1" xfId="0" applyFill="1" applyBorder="1" applyAlignment="1">
      <alignment horizontal="left"/>
    </xf>
    <xf numFmtId="0" fontId="0" fillId="4" borderId="1" xfId="0" applyFill="1" applyBorder="1" applyAlignment="1">
      <alignment horizontal="right"/>
    </xf>
    <xf numFmtId="164" fontId="0" fillId="12" borderId="1" xfId="0" applyNumberFormat="1" applyFill="1" applyBorder="1"/>
    <xf numFmtId="9" fontId="0" fillId="0" borderId="0" xfId="0" applyNumberFormat="1"/>
    <xf numFmtId="0" fontId="2" fillId="10" borderId="1" xfId="0" applyFont="1" applyFill="1" applyBorder="1" applyAlignment="1">
      <alignment wrapText="1"/>
    </xf>
    <xf numFmtId="49" fontId="0" fillId="11" borderId="1" xfId="0" applyNumberFormat="1" applyFill="1" applyBorder="1"/>
    <xf numFmtId="0" fontId="0" fillId="14" borderId="1" xfId="0" applyFill="1" applyBorder="1" applyAlignment="1">
      <alignment wrapText="1"/>
    </xf>
    <xf numFmtId="0" fontId="0" fillId="14" borderId="1" xfId="0" applyFill="1" applyBorder="1"/>
    <xf numFmtId="0" fontId="8" fillId="2" borderId="1" xfId="0" applyFont="1" applyFill="1" applyBorder="1" applyAlignment="1">
      <alignment horizontal="left" wrapText="1"/>
    </xf>
    <xf numFmtId="0" fontId="7" fillId="3" borderId="1" xfId="0" applyFont="1" applyFill="1" applyBorder="1"/>
    <xf numFmtId="0" fontId="9" fillId="10" borderId="1" xfId="0" applyFont="1" applyFill="1" applyBorder="1" applyAlignment="1">
      <alignment wrapText="1"/>
    </xf>
    <xf numFmtId="0" fontId="10" fillId="11" borderId="5" xfId="0" applyFont="1" applyFill="1" applyBorder="1" applyAlignment="1">
      <alignment horizontal="left"/>
    </xf>
    <xf numFmtId="0" fontId="10" fillId="11" borderId="7" xfId="0" applyFont="1" applyFill="1" applyBorder="1" applyAlignment="1">
      <alignment horizontal="left"/>
    </xf>
    <xf numFmtId="0" fontId="10" fillId="11" borderId="6" xfId="0" applyFont="1" applyFill="1" applyBorder="1" applyAlignment="1">
      <alignment horizontal="left"/>
    </xf>
    <xf numFmtId="0" fontId="7" fillId="6" borderId="1" xfId="0" applyFont="1" applyFill="1" applyBorder="1" applyAlignment="1">
      <alignment horizontal="center" vertical="center" wrapText="1"/>
    </xf>
    <xf numFmtId="0" fontId="0" fillId="11" borderId="2" xfId="0" applyFill="1" applyBorder="1" applyAlignment="1">
      <alignment wrapText="1"/>
    </xf>
    <xf numFmtId="0" fontId="0" fillId="11" borderId="4" xfId="0" applyFill="1" applyBorder="1" applyAlignment="1">
      <alignment wrapText="1"/>
    </xf>
    <xf numFmtId="0" fontId="7" fillId="6" borderId="1" xfId="0" applyFont="1" applyFill="1" applyBorder="1" applyAlignment="1">
      <alignment horizontal="right"/>
    </xf>
    <xf numFmtId="0" fontId="7" fillId="6" borderId="5" xfId="0" applyFont="1" applyFill="1" applyBorder="1" applyAlignment="1">
      <alignment horizontal="right"/>
    </xf>
    <xf numFmtId="0" fontId="7" fillId="6" borderId="7" xfId="0" applyFont="1" applyFill="1" applyBorder="1" applyAlignment="1">
      <alignment horizontal="right"/>
    </xf>
    <xf numFmtId="0" fontId="7" fillId="6" borderId="6" xfId="0" applyFont="1" applyFill="1" applyBorder="1" applyAlignment="1">
      <alignment horizontal="right"/>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3" fillId="6" borderId="1" xfId="0" applyFont="1" applyFill="1" applyBorder="1" applyAlignment="1">
      <alignment horizontal="right"/>
    </xf>
    <xf numFmtId="0" fontId="3" fillId="13" borderId="1" xfId="0" applyFont="1" applyFill="1" applyBorder="1" applyAlignment="1">
      <alignment horizontal="right"/>
    </xf>
    <xf numFmtId="0" fontId="3" fillId="3" borderId="1" xfId="0" applyFont="1" applyFill="1" applyBorder="1" applyAlignment="1">
      <alignment horizontal="center" vertical="center" wrapText="1"/>
    </xf>
    <xf numFmtId="0" fontId="0" fillId="4" borderId="2" xfId="0" applyFill="1" applyBorder="1" applyAlignment="1">
      <alignment horizontal="center" wrapText="1"/>
    </xf>
    <xf numFmtId="0" fontId="0" fillId="4" borderId="3" xfId="0" applyFill="1" applyBorder="1" applyAlignment="1">
      <alignment horizontal="center" wrapText="1"/>
    </xf>
    <xf numFmtId="0" fontId="0" fillId="5" borderId="2" xfId="0" applyFill="1" applyBorder="1" applyAlignment="1">
      <alignment horizontal="center" wrapText="1"/>
    </xf>
    <xf numFmtId="0" fontId="0" fillId="5" borderId="3" xfId="0" applyFill="1" applyBorder="1" applyAlignment="1">
      <alignment horizontal="center"/>
    </xf>
    <xf numFmtId="0" fontId="0" fillId="5" borderId="4" xfId="0" applyFill="1" applyBorder="1" applyAlignment="1">
      <alignment horizontal="center"/>
    </xf>
    <xf numFmtId="0" fontId="3" fillId="6" borderId="1" xfId="0" applyFont="1" applyFill="1" applyBorder="1" applyAlignment="1">
      <alignment horizontal="center" vertical="center" wrapText="1"/>
    </xf>
    <xf numFmtId="0" fontId="0" fillId="11" borderId="1" xfId="0" applyFill="1" applyBorder="1" applyAlignment="1">
      <alignment wrapText="1"/>
    </xf>
    <xf numFmtId="0" fontId="0" fillId="7" borderId="5" xfId="0" applyFill="1" applyBorder="1" applyAlignment="1">
      <alignment horizontal="center"/>
    </xf>
    <xf numFmtId="0" fontId="0" fillId="7" borderId="7" xfId="0" applyFill="1" applyBorder="1" applyAlignment="1">
      <alignment horizontal="center"/>
    </xf>
    <xf numFmtId="0" fontId="0" fillId="7" borderId="6" xfId="0" applyFill="1" applyBorder="1" applyAlignment="1">
      <alignment horizontal="center"/>
    </xf>
    <xf numFmtId="0" fontId="0" fillId="0" borderId="1" xfId="0"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0" fillId="11" borderId="5" xfId="0" applyFill="1" applyBorder="1" applyAlignment="1">
      <alignment horizontal="center"/>
    </xf>
    <xf numFmtId="0" fontId="0" fillId="11" borderId="7" xfId="0" applyFill="1" applyBorder="1" applyAlignment="1">
      <alignment horizontal="center"/>
    </xf>
    <xf numFmtId="0" fontId="0" fillId="11" borderId="6" xfId="0" applyFill="1" applyBorder="1" applyAlignment="1">
      <alignment horizontal="center"/>
    </xf>
    <xf numFmtId="0" fontId="10" fillId="11" borderId="1" xfId="0" applyFont="1" applyFill="1" applyBorder="1" applyAlignment="1">
      <alignment horizontal="left"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0" fillId="11" borderId="5" xfId="0" applyFont="1" applyFill="1" applyBorder="1" applyAlignment="1">
      <alignment horizontal="left" wrapText="1"/>
    </xf>
    <xf numFmtId="0" fontId="10" fillId="11" borderId="7" xfId="0" applyFont="1" applyFill="1" applyBorder="1" applyAlignment="1">
      <alignment horizontal="left" wrapText="1"/>
    </xf>
    <xf numFmtId="0" fontId="10" fillId="11" borderId="6"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F499-9E40-7F44-97D5-7828FCD57C55}">
  <sheetPr>
    <pageSetUpPr fitToPage="1"/>
  </sheetPr>
  <dimension ref="A1:K10"/>
  <sheetViews>
    <sheetView tabSelected="1" workbookViewId="0">
      <selection activeCell="D8" sqref="D8"/>
    </sheetView>
  </sheetViews>
  <sheetFormatPr baseColWidth="10" defaultColWidth="11" defaultRowHeight="16" x14ac:dyDescent="0.2"/>
  <cols>
    <col min="2" max="2" width="21.33203125" customWidth="1"/>
    <col min="3" max="3" width="73" customWidth="1"/>
    <col min="4" max="4" width="29.6640625" customWidth="1"/>
  </cols>
  <sheetData>
    <row r="1" spans="1:11" x14ac:dyDescent="0.2">
      <c r="A1" s="3" t="s">
        <v>0</v>
      </c>
      <c r="B1" s="32"/>
      <c r="C1" s="21" t="s">
        <v>1</v>
      </c>
      <c r="D1" s="32"/>
    </row>
    <row r="2" spans="1:11" x14ac:dyDescent="0.2">
      <c r="A2" s="16" t="s">
        <v>2</v>
      </c>
      <c r="B2" s="16" t="s">
        <v>3</v>
      </c>
      <c r="C2" s="17" t="s">
        <v>4</v>
      </c>
      <c r="D2" s="20" t="s">
        <v>5</v>
      </c>
      <c r="E2" s="2"/>
      <c r="F2" s="2"/>
      <c r="G2" s="2"/>
      <c r="H2" s="2"/>
      <c r="I2" s="2"/>
      <c r="J2" s="2"/>
      <c r="K2" s="2"/>
    </row>
    <row r="3" spans="1:11" x14ac:dyDescent="0.2">
      <c r="A3" s="12" t="s">
        <v>6</v>
      </c>
      <c r="B3" s="18">
        <v>0.35</v>
      </c>
      <c r="C3" s="19" t="s">
        <v>7</v>
      </c>
      <c r="D3" s="27">
        <f>Design!F14</f>
        <v>0</v>
      </c>
      <c r="E3" s="15"/>
      <c r="F3" s="15"/>
      <c r="G3" s="15"/>
      <c r="H3" s="15"/>
      <c r="I3" s="15"/>
      <c r="J3" s="15"/>
      <c r="K3" s="15"/>
    </row>
    <row r="4" spans="1:11" x14ac:dyDescent="0.2">
      <c r="A4" s="12" t="s">
        <v>8</v>
      </c>
      <c r="B4" s="18">
        <v>0.35</v>
      </c>
      <c r="C4" s="12" t="s">
        <v>9</v>
      </c>
      <c r="D4" s="28">
        <f>Code!F49</f>
        <v>0</v>
      </c>
    </row>
    <row r="5" spans="1:11" x14ac:dyDescent="0.2">
      <c r="A5" s="12" t="s">
        <v>10</v>
      </c>
      <c r="B5" s="18">
        <v>0.3</v>
      </c>
      <c r="C5" s="12" t="s">
        <v>11</v>
      </c>
      <c r="D5" s="28">
        <f>Testing!F21</f>
        <v>0</v>
      </c>
    </row>
    <row r="6" spans="1:11" x14ac:dyDescent="0.2">
      <c r="A6" s="12" t="s">
        <v>96</v>
      </c>
      <c r="B6" s="18">
        <v>0.02</v>
      </c>
      <c r="C6" s="12" t="s">
        <v>98</v>
      </c>
      <c r="D6" s="28">
        <f>Bonus!F5</f>
        <v>0</v>
      </c>
    </row>
    <row r="7" spans="1:11" x14ac:dyDescent="0.2">
      <c r="A7" s="60" t="s">
        <v>99</v>
      </c>
      <c r="B7" s="60"/>
      <c r="C7" s="60"/>
      <c r="D7" s="29">
        <f>(D3*0.35+D4*0.35+D5*0.3)+D6*0.02</f>
        <v>0</v>
      </c>
    </row>
    <row r="8" spans="1:11" x14ac:dyDescent="0.2">
      <c r="A8" s="61" t="s">
        <v>12</v>
      </c>
      <c r="B8" s="61"/>
      <c r="C8" s="61"/>
      <c r="D8" s="38">
        <f>ROUND(D7*100, 1)</f>
        <v>0</v>
      </c>
    </row>
    <row r="10" spans="1:11" x14ac:dyDescent="0.2">
      <c r="B10" s="39"/>
    </row>
  </sheetData>
  <mergeCells count="2">
    <mergeCell ref="A7:C7"/>
    <mergeCell ref="A8:C8"/>
  </mergeCells>
  <pageMargins left="0.7" right="0.7" top="0.75" bottom="0.75" header="0.3" footer="0.3"/>
  <pageSetup scale="85"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5237-DD03-764B-B89D-925FB7EF197C}">
  <sheetPr>
    <pageSetUpPr fitToPage="1"/>
  </sheetPr>
  <dimension ref="A1:G16"/>
  <sheetViews>
    <sheetView workbookViewId="0">
      <selection activeCell="B33" sqref="B33"/>
    </sheetView>
  </sheetViews>
  <sheetFormatPr baseColWidth="10" defaultColWidth="11" defaultRowHeight="16" x14ac:dyDescent="0.2"/>
  <cols>
    <col min="2" max="2" width="125.1640625" customWidth="1"/>
    <col min="5" max="5" width="14.1640625" customWidth="1"/>
    <col min="6" max="6" width="7.5" customWidth="1"/>
    <col min="7" max="7" width="6.6640625" customWidth="1"/>
  </cols>
  <sheetData>
    <row r="1" spans="1:7" ht="34" x14ac:dyDescent="0.2">
      <c r="A1" s="62" t="s">
        <v>13</v>
      </c>
      <c r="B1" s="23" t="s">
        <v>14</v>
      </c>
      <c r="C1" s="3" t="s">
        <v>15</v>
      </c>
      <c r="D1" s="3" t="s">
        <v>16</v>
      </c>
      <c r="E1" s="3" t="s">
        <v>17</v>
      </c>
      <c r="F1" s="3" t="s">
        <v>18</v>
      </c>
      <c r="G1" s="3" t="s">
        <v>19</v>
      </c>
    </row>
    <row r="2" spans="1:7" ht="51" x14ac:dyDescent="0.2">
      <c r="A2" s="62"/>
      <c r="B2" s="4" t="s">
        <v>20</v>
      </c>
      <c r="C2" s="5" t="s">
        <v>21</v>
      </c>
      <c r="D2" s="32"/>
      <c r="E2" s="10" t="s">
        <v>22</v>
      </c>
      <c r="F2" s="14">
        <v>0</v>
      </c>
      <c r="G2" s="5">
        <v>0</v>
      </c>
    </row>
    <row r="3" spans="1:7" ht="17" x14ac:dyDescent="0.2">
      <c r="A3" s="62"/>
      <c r="B3" s="4" t="s">
        <v>23</v>
      </c>
      <c r="C3" s="5" t="s">
        <v>21</v>
      </c>
      <c r="D3" s="32"/>
      <c r="E3" s="10" t="s">
        <v>22</v>
      </c>
      <c r="F3" s="14">
        <v>0</v>
      </c>
      <c r="G3" s="5">
        <v>0</v>
      </c>
    </row>
    <row r="4" spans="1:7" ht="17" x14ac:dyDescent="0.2">
      <c r="A4" s="62"/>
      <c r="B4" s="4" t="s">
        <v>24</v>
      </c>
      <c r="C4" s="5" t="s">
        <v>21</v>
      </c>
      <c r="D4" s="32"/>
      <c r="E4" s="10" t="s">
        <v>22</v>
      </c>
      <c r="F4" s="14">
        <v>0</v>
      </c>
      <c r="G4" s="5">
        <v>0</v>
      </c>
    </row>
    <row r="5" spans="1:7" ht="17" x14ac:dyDescent="0.2">
      <c r="A5" s="62"/>
      <c r="B5" s="46" t="s">
        <v>103</v>
      </c>
      <c r="C5" s="70"/>
      <c r="D5" s="71"/>
      <c r="E5" s="71"/>
      <c r="F5" s="71"/>
      <c r="G5" s="72"/>
    </row>
    <row r="6" spans="1:7" ht="70" customHeight="1" x14ac:dyDescent="0.2">
      <c r="A6" s="62"/>
      <c r="B6" s="6" t="s">
        <v>25</v>
      </c>
      <c r="C6" s="7" t="s">
        <v>26</v>
      </c>
      <c r="D6" s="32"/>
      <c r="E6" s="63" t="s">
        <v>104</v>
      </c>
      <c r="F6" s="7">
        <f t="shared" ref="F6:F7" si="0">SUMPRODUCT((D6="90-100%")*10+(D6="70-89%")*6+(D6="50-69%")*4)</f>
        <v>0</v>
      </c>
      <c r="G6" s="7">
        <v>10</v>
      </c>
    </row>
    <row r="7" spans="1:7" ht="51" customHeight="1" x14ac:dyDescent="0.2">
      <c r="A7" s="62"/>
      <c r="B7" s="6" t="s">
        <v>27</v>
      </c>
      <c r="C7" s="7" t="s">
        <v>26</v>
      </c>
      <c r="D7" s="32"/>
      <c r="E7" s="64"/>
      <c r="F7" s="7">
        <f t="shared" si="0"/>
        <v>0</v>
      </c>
      <c r="G7" s="7">
        <v>10</v>
      </c>
    </row>
    <row r="8" spans="1:7" ht="107" customHeight="1" x14ac:dyDescent="0.2">
      <c r="A8" s="62"/>
      <c r="B8" s="6" t="s">
        <v>28</v>
      </c>
      <c r="C8" s="7" t="s">
        <v>26</v>
      </c>
      <c r="D8" s="32"/>
      <c r="E8" s="64"/>
      <c r="F8" s="7">
        <f>SUMPRODUCT((D8="90-100%")*10+(D8="70-89%")*6+(D8="50-69%")*4)</f>
        <v>0</v>
      </c>
      <c r="G8" s="7">
        <v>10</v>
      </c>
    </row>
    <row r="9" spans="1:7" ht="17" x14ac:dyDescent="0.2">
      <c r="A9" s="62"/>
      <c r="B9" s="4" t="s">
        <v>30</v>
      </c>
      <c r="C9" s="5" t="s">
        <v>31</v>
      </c>
      <c r="D9" s="32"/>
      <c r="E9" s="65" t="s">
        <v>32</v>
      </c>
      <c r="F9" s="5">
        <f>SUMPRODUCT((D9="90-100%")*4+(D9="70-89%")*3+(D9="50-69%")*2)</f>
        <v>0</v>
      </c>
      <c r="G9" s="5">
        <v>4</v>
      </c>
    </row>
    <row r="10" spans="1:7" ht="17" x14ac:dyDescent="0.2">
      <c r="A10" s="62"/>
      <c r="B10" s="4" t="s">
        <v>33</v>
      </c>
      <c r="C10" s="5" t="s">
        <v>31</v>
      </c>
      <c r="D10" s="32"/>
      <c r="E10" s="66"/>
      <c r="F10" s="5">
        <f t="shared" ref="F10:F12" si="1">SUMPRODUCT((D10="90-100%")*4+(D10="70-89%")*3+(D10="50-69%")*2)</f>
        <v>0</v>
      </c>
      <c r="G10" s="5">
        <v>4</v>
      </c>
    </row>
    <row r="11" spans="1:7" ht="17" x14ac:dyDescent="0.2">
      <c r="A11" s="62"/>
      <c r="B11" s="4" t="s">
        <v>34</v>
      </c>
      <c r="C11" s="5" t="s">
        <v>31</v>
      </c>
      <c r="D11" s="32"/>
      <c r="E11" s="66"/>
      <c r="F11" s="5">
        <f t="shared" si="1"/>
        <v>0</v>
      </c>
      <c r="G11" s="5">
        <v>4</v>
      </c>
    </row>
    <row r="12" spans="1:7" ht="17" x14ac:dyDescent="0.2">
      <c r="A12" s="62"/>
      <c r="B12" s="4" t="s">
        <v>35</v>
      </c>
      <c r="C12" s="5" t="s">
        <v>31</v>
      </c>
      <c r="D12" s="32"/>
      <c r="E12" s="67"/>
      <c r="F12" s="5">
        <f t="shared" si="1"/>
        <v>0</v>
      </c>
      <c r="G12" s="5">
        <v>4</v>
      </c>
    </row>
    <row r="13" spans="1:7" ht="16" customHeight="1" x14ac:dyDescent="0.2">
      <c r="A13" s="68" t="s">
        <v>36</v>
      </c>
      <c r="B13" s="69"/>
      <c r="C13" s="60" t="s">
        <v>37</v>
      </c>
      <c r="D13" s="60"/>
      <c r="E13" s="60"/>
      <c r="F13" s="5">
        <f>SUM(F2:G4,F6:F12)</f>
        <v>0</v>
      </c>
      <c r="G13" s="12">
        <f>SUM(G2:G4,G6:G12)</f>
        <v>46</v>
      </c>
    </row>
    <row r="14" spans="1:7" ht="51.75" customHeight="1" x14ac:dyDescent="0.2">
      <c r="A14" s="68"/>
      <c r="B14" s="69"/>
      <c r="C14" s="60" t="s">
        <v>38</v>
      </c>
      <c r="D14" s="60"/>
      <c r="E14" s="60"/>
      <c r="F14" s="29">
        <f>F13/G13</f>
        <v>0</v>
      </c>
      <c r="G14" s="13"/>
    </row>
    <row r="15" spans="1:7" x14ac:dyDescent="0.2">
      <c r="A15" s="1"/>
      <c r="B15" s="1"/>
    </row>
    <row r="16" spans="1:7" x14ac:dyDescent="0.2">
      <c r="A16" s="1"/>
      <c r="B16" s="1"/>
    </row>
  </sheetData>
  <mergeCells count="8">
    <mergeCell ref="A1:A12"/>
    <mergeCell ref="E6:E8"/>
    <mergeCell ref="E9:E12"/>
    <mergeCell ref="C13:E13"/>
    <mergeCell ref="C14:E14"/>
    <mergeCell ref="A13:A14"/>
    <mergeCell ref="B13:B14"/>
    <mergeCell ref="C5:G5"/>
  </mergeCells>
  <dataValidations count="2">
    <dataValidation type="list" allowBlank="1" showInputMessage="1" showErrorMessage="1" sqref="D9 D2:D4" xr:uid="{76C3F517-EB1C-E94A-82B3-740B88FBC9C0}">
      <formula1>"Yes,No"</formula1>
    </dataValidation>
    <dataValidation type="list" allowBlank="1" showInputMessage="1" showErrorMessage="1" sqref="D6:D8 D10:D12" xr:uid="{4609A4B8-AFC3-6642-8CCE-53B8B5A3F69D}">
      <formula1>"90-100%,70-89%,50-69%,&lt;50%"</formula1>
    </dataValidation>
  </dataValidations>
  <pageMargins left="0.7" right="0.7" top="0.75" bottom="0.75" header="0.3" footer="0.3"/>
  <pageSetup scale="65"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1742-9B46-AC43-AFF3-BFEB581C86C9}">
  <sheetPr>
    <pageSetUpPr fitToPage="1"/>
  </sheetPr>
  <dimension ref="A1:G49"/>
  <sheetViews>
    <sheetView topLeftCell="A22" workbookViewId="0">
      <selection activeCell="K14" sqref="K14"/>
    </sheetView>
  </sheetViews>
  <sheetFormatPr baseColWidth="10" defaultColWidth="11" defaultRowHeight="16" x14ac:dyDescent="0.2"/>
  <cols>
    <col min="2" max="2" width="115.5" style="1" customWidth="1"/>
    <col min="3" max="3" width="14" customWidth="1"/>
    <col min="5" max="5" width="13" customWidth="1"/>
  </cols>
  <sheetData>
    <row r="1" spans="1:7" ht="68" x14ac:dyDescent="0.2">
      <c r="A1" s="74" t="s">
        <v>39</v>
      </c>
      <c r="B1" s="22" t="s">
        <v>40</v>
      </c>
      <c r="C1" s="3" t="s">
        <v>15</v>
      </c>
      <c r="D1" s="3" t="s">
        <v>16</v>
      </c>
      <c r="E1" s="3" t="s">
        <v>17</v>
      </c>
      <c r="F1" s="3" t="s">
        <v>18</v>
      </c>
      <c r="G1" s="3" t="s">
        <v>19</v>
      </c>
    </row>
    <row r="2" spans="1:7" ht="17" x14ac:dyDescent="0.2">
      <c r="A2" s="75"/>
      <c r="B2" s="31" t="s">
        <v>41</v>
      </c>
      <c r="C2" s="12" t="s">
        <v>42</v>
      </c>
      <c r="D2" s="32"/>
      <c r="E2" s="10" t="s">
        <v>22</v>
      </c>
      <c r="F2" s="14">
        <v>0</v>
      </c>
      <c r="G2" s="12">
        <v>0</v>
      </c>
    </row>
    <row r="3" spans="1:7" s="1" customFormat="1" ht="19" customHeight="1" x14ac:dyDescent="0.2">
      <c r="A3" s="75"/>
      <c r="B3" s="11" t="s">
        <v>43</v>
      </c>
      <c r="C3" s="11" t="s">
        <v>42</v>
      </c>
      <c r="D3" s="32"/>
      <c r="E3" s="24" t="s">
        <v>22</v>
      </c>
      <c r="F3" s="26">
        <v>0</v>
      </c>
      <c r="G3" s="11">
        <v>0</v>
      </c>
    </row>
    <row r="4" spans="1:7" s="1" customFormat="1" ht="19" customHeight="1" x14ac:dyDescent="0.2">
      <c r="A4" s="75"/>
      <c r="B4" s="11" t="s">
        <v>44</v>
      </c>
      <c r="C4" s="11" t="s">
        <v>42</v>
      </c>
      <c r="D4" s="32"/>
      <c r="E4" s="24" t="s">
        <v>22</v>
      </c>
      <c r="F4" s="26">
        <v>0</v>
      </c>
      <c r="G4" s="11">
        <v>0</v>
      </c>
    </row>
    <row r="5" spans="1:7" ht="17" x14ac:dyDescent="0.2">
      <c r="A5" s="75"/>
      <c r="B5" s="11" t="s">
        <v>45</v>
      </c>
      <c r="C5" s="12" t="s">
        <v>42</v>
      </c>
      <c r="D5" s="32"/>
      <c r="E5" s="10" t="s">
        <v>22</v>
      </c>
      <c r="F5" s="14">
        <v>0</v>
      </c>
      <c r="G5" s="12">
        <v>0</v>
      </c>
    </row>
    <row r="6" spans="1:7" ht="17" x14ac:dyDescent="0.2">
      <c r="A6" s="75"/>
      <c r="B6" s="11" t="s">
        <v>46</v>
      </c>
      <c r="C6" s="12" t="s">
        <v>42</v>
      </c>
      <c r="D6" s="32"/>
      <c r="E6" s="10" t="s">
        <v>22</v>
      </c>
      <c r="F6" s="14">
        <v>0</v>
      </c>
      <c r="G6" s="12">
        <v>0</v>
      </c>
    </row>
    <row r="7" spans="1:7" ht="17" x14ac:dyDescent="0.2">
      <c r="A7" s="75"/>
      <c r="B7" s="11" t="s">
        <v>47</v>
      </c>
      <c r="C7" s="12" t="s">
        <v>42</v>
      </c>
      <c r="D7" s="32"/>
      <c r="E7" s="10" t="s">
        <v>22</v>
      </c>
      <c r="F7" s="14">
        <v>0</v>
      </c>
      <c r="G7" s="12">
        <v>0</v>
      </c>
    </row>
    <row r="8" spans="1:7" ht="17" x14ac:dyDescent="0.2">
      <c r="A8" s="75"/>
      <c r="B8" s="11" t="s">
        <v>48</v>
      </c>
      <c r="C8" s="12" t="s">
        <v>42</v>
      </c>
      <c r="D8" s="32"/>
      <c r="E8" s="10" t="s">
        <v>22</v>
      </c>
      <c r="F8" s="14">
        <v>0</v>
      </c>
      <c r="G8" s="12">
        <v>0</v>
      </c>
    </row>
    <row r="9" spans="1:7" ht="17" x14ac:dyDescent="0.2">
      <c r="A9" s="75"/>
      <c r="B9" s="11" t="s">
        <v>49</v>
      </c>
      <c r="C9" s="12" t="s">
        <v>42</v>
      </c>
      <c r="D9" s="32"/>
      <c r="E9" s="10" t="s">
        <v>22</v>
      </c>
      <c r="F9" s="14">
        <v>0</v>
      </c>
      <c r="G9" s="12">
        <v>0</v>
      </c>
    </row>
    <row r="10" spans="1:7" ht="17" x14ac:dyDescent="0.2">
      <c r="A10" s="75"/>
      <c r="B10" s="6" t="s">
        <v>50</v>
      </c>
      <c r="C10" s="7" t="s">
        <v>51</v>
      </c>
      <c r="D10" s="32"/>
      <c r="E10" s="8" t="s">
        <v>29</v>
      </c>
      <c r="F10" s="7">
        <f>SUMPRODUCT((D10="Yes")*G10)</f>
        <v>0</v>
      </c>
      <c r="G10" s="7">
        <v>4</v>
      </c>
    </row>
    <row r="11" spans="1:7" ht="17" x14ac:dyDescent="0.2">
      <c r="A11" s="75"/>
      <c r="B11" s="33" t="s">
        <v>52</v>
      </c>
      <c r="C11" s="77"/>
      <c r="D11" s="78"/>
      <c r="E11" s="78"/>
      <c r="F11" s="78"/>
      <c r="G11" s="79"/>
    </row>
    <row r="12" spans="1:7" ht="17" x14ac:dyDescent="0.2">
      <c r="A12" s="75"/>
      <c r="B12" s="35" t="s">
        <v>53</v>
      </c>
      <c r="C12" s="36" t="s">
        <v>51</v>
      </c>
      <c r="D12" s="34"/>
      <c r="E12" s="8" t="s">
        <v>54</v>
      </c>
      <c r="F12" s="37">
        <f>SUMPRODUCT((D12="Yes")*G12)</f>
        <v>0</v>
      </c>
      <c r="G12" s="37">
        <v>1</v>
      </c>
    </row>
    <row r="13" spans="1:7" ht="17" x14ac:dyDescent="0.2">
      <c r="A13" s="75"/>
      <c r="B13" s="35" t="s">
        <v>55</v>
      </c>
      <c r="C13" s="36" t="s">
        <v>51</v>
      </c>
      <c r="D13" s="34"/>
      <c r="E13" s="8" t="s">
        <v>56</v>
      </c>
      <c r="F13" s="37">
        <f>SUMPRODUCT((D13="Yes")*G13)</f>
        <v>0</v>
      </c>
      <c r="G13" s="37">
        <v>5</v>
      </c>
    </row>
    <row r="14" spans="1:7" ht="48" customHeight="1" x14ac:dyDescent="0.2">
      <c r="A14" s="75"/>
      <c r="B14" s="11" t="s">
        <v>57</v>
      </c>
      <c r="C14" s="12" t="s">
        <v>58</v>
      </c>
      <c r="D14" s="32"/>
      <c r="E14" s="73" t="s">
        <v>59</v>
      </c>
      <c r="F14" s="12">
        <f>SUMPRODUCT((D14="Yes")*G14)</f>
        <v>0</v>
      </c>
      <c r="G14" s="12">
        <v>10</v>
      </c>
    </row>
    <row r="15" spans="1:7" ht="17" x14ac:dyDescent="0.2">
      <c r="A15" s="75"/>
      <c r="B15" s="11" t="s">
        <v>60</v>
      </c>
      <c r="C15" s="12" t="s">
        <v>58</v>
      </c>
      <c r="D15" s="32"/>
      <c r="E15" s="73"/>
      <c r="F15" s="12">
        <f t="shared" ref="F15:F47" si="0">SUMPRODUCT((D15="Yes")*G15)</f>
        <v>0</v>
      </c>
      <c r="G15" s="12">
        <v>3</v>
      </c>
    </row>
    <row r="16" spans="1:7" ht="17" x14ac:dyDescent="0.2">
      <c r="A16" s="75"/>
      <c r="B16" s="11" t="s">
        <v>61</v>
      </c>
      <c r="C16" s="12" t="s">
        <v>58</v>
      </c>
      <c r="D16" s="32"/>
      <c r="E16" s="73"/>
      <c r="F16" s="12">
        <f t="shared" si="0"/>
        <v>0</v>
      </c>
      <c r="G16" s="12">
        <v>3</v>
      </c>
    </row>
    <row r="17" spans="1:7" ht="17" x14ac:dyDescent="0.2">
      <c r="A17" s="75"/>
      <c r="B17" s="11" t="s">
        <v>62</v>
      </c>
      <c r="C17" s="12" t="s">
        <v>58</v>
      </c>
      <c r="D17" s="32"/>
      <c r="E17" s="73"/>
      <c r="F17" s="12">
        <f t="shared" si="0"/>
        <v>0</v>
      </c>
      <c r="G17" s="12">
        <v>4</v>
      </c>
    </row>
    <row r="18" spans="1:7" ht="17" x14ac:dyDescent="0.2">
      <c r="A18" s="75"/>
      <c r="B18" s="11" t="s">
        <v>63</v>
      </c>
      <c r="C18" s="12" t="s">
        <v>58</v>
      </c>
      <c r="D18" s="32"/>
      <c r="E18" s="73"/>
      <c r="F18" s="12">
        <f t="shared" si="0"/>
        <v>0</v>
      </c>
      <c r="G18" s="12">
        <v>2</v>
      </c>
    </row>
    <row r="19" spans="1:7" ht="17" x14ac:dyDescent="0.2">
      <c r="A19" s="75"/>
      <c r="B19" s="11" t="s">
        <v>64</v>
      </c>
      <c r="C19" s="12" t="s">
        <v>58</v>
      </c>
      <c r="D19" s="32"/>
      <c r="E19" s="73"/>
      <c r="F19" s="12">
        <f t="shared" si="0"/>
        <v>0</v>
      </c>
      <c r="G19" s="12">
        <v>5</v>
      </c>
    </row>
    <row r="20" spans="1:7" ht="17" x14ac:dyDescent="0.2">
      <c r="A20" s="75"/>
      <c r="B20" s="42" t="s">
        <v>66</v>
      </c>
      <c r="C20" s="43" t="s">
        <v>65</v>
      </c>
      <c r="D20" s="32"/>
      <c r="E20" s="73"/>
      <c r="F20" s="43">
        <f t="shared" si="0"/>
        <v>0</v>
      </c>
      <c r="G20" s="43">
        <v>8</v>
      </c>
    </row>
    <row r="21" spans="1:7" ht="18" customHeight="1" x14ac:dyDescent="0.2">
      <c r="A21" s="75"/>
      <c r="B21" s="42" t="s">
        <v>67</v>
      </c>
      <c r="C21" s="43" t="s">
        <v>65</v>
      </c>
      <c r="D21" s="32"/>
      <c r="E21" s="73"/>
      <c r="F21" s="43">
        <f t="shared" si="0"/>
        <v>0</v>
      </c>
      <c r="G21" s="43">
        <v>10</v>
      </c>
    </row>
    <row r="22" spans="1:7" ht="17" customHeight="1" x14ac:dyDescent="0.2">
      <c r="A22" s="75"/>
      <c r="B22" s="11" t="s">
        <v>106</v>
      </c>
      <c r="C22" s="12" t="s">
        <v>105</v>
      </c>
      <c r="D22" s="32"/>
      <c r="E22" s="73"/>
      <c r="F22" s="12">
        <f t="shared" si="0"/>
        <v>0</v>
      </c>
      <c r="G22" s="12">
        <v>1</v>
      </c>
    </row>
    <row r="23" spans="1:7" ht="17" x14ac:dyDescent="0.2">
      <c r="A23" s="75"/>
      <c r="B23" s="11" t="s">
        <v>107</v>
      </c>
      <c r="C23" s="12" t="s">
        <v>105</v>
      </c>
      <c r="D23" s="32"/>
      <c r="E23" s="73"/>
      <c r="F23" s="12">
        <f t="shared" si="0"/>
        <v>0</v>
      </c>
      <c r="G23" s="12">
        <v>2</v>
      </c>
    </row>
    <row r="24" spans="1:7" ht="17" x14ac:dyDescent="0.2">
      <c r="A24" s="75"/>
      <c r="B24" s="11" t="s">
        <v>109</v>
      </c>
      <c r="C24" s="12" t="s">
        <v>105</v>
      </c>
      <c r="D24" s="32"/>
      <c r="E24" s="73"/>
      <c r="F24" s="12">
        <f t="shared" si="0"/>
        <v>0</v>
      </c>
      <c r="G24" s="12">
        <v>3</v>
      </c>
    </row>
    <row r="25" spans="1:7" ht="17" x14ac:dyDescent="0.2">
      <c r="A25" s="75"/>
      <c r="B25" s="11" t="s">
        <v>108</v>
      </c>
      <c r="C25" s="12" t="s">
        <v>105</v>
      </c>
      <c r="D25" s="32"/>
      <c r="E25" s="73"/>
      <c r="F25" s="12">
        <f t="shared" si="0"/>
        <v>0</v>
      </c>
      <c r="G25" s="12">
        <v>2</v>
      </c>
    </row>
    <row r="26" spans="1:7" ht="17" x14ac:dyDescent="0.2">
      <c r="A26" s="75"/>
      <c r="B26" s="11" t="s">
        <v>110</v>
      </c>
      <c r="C26" s="12" t="s">
        <v>105</v>
      </c>
      <c r="D26" s="32"/>
      <c r="E26" s="73"/>
      <c r="F26" s="12">
        <f t="shared" si="0"/>
        <v>0</v>
      </c>
      <c r="G26" s="12">
        <v>1</v>
      </c>
    </row>
    <row r="27" spans="1:7" ht="17" customHeight="1" x14ac:dyDescent="0.2">
      <c r="A27" s="75"/>
      <c r="B27" s="42" t="s">
        <v>120</v>
      </c>
      <c r="C27" s="43" t="s">
        <v>111</v>
      </c>
      <c r="D27" s="32"/>
      <c r="E27" s="73"/>
      <c r="F27" s="43">
        <f t="shared" si="0"/>
        <v>0</v>
      </c>
      <c r="G27" s="43">
        <v>1</v>
      </c>
    </row>
    <row r="28" spans="1:7" ht="17" x14ac:dyDescent="0.2">
      <c r="A28" s="75"/>
      <c r="B28" s="42" t="s">
        <v>121</v>
      </c>
      <c r="C28" s="43" t="s">
        <v>111</v>
      </c>
      <c r="D28" s="32"/>
      <c r="E28" s="73"/>
      <c r="F28" s="43">
        <f t="shared" si="0"/>
        <v>0</v>
      </c>
      <c r="G28" s="43">
        <v>4</v>
      </c>
    </row>
    <row r="29" spans="1:7" ht="17" x14ac:dyDescent="0.2">
      <c r="A29" s="75"/>
      <c r="B29" s="42" t="s">
        <v>122</v>
      </c>
      <c r="C29" s="43" t="s">
        <v>111</v>
      </c>
      <c r="D29" s="32"/>
      <c r="E29" s="73"/>
      <c r="F29" s="43">
        <f t="shared" si="0"/>
        <v>0</v>
      </c>
      <c r="G29" s="43">
        <v>4</v>
      </c>
    </row>
    <row r="30" spans="1:7" ht="17" customHeight="1" x14ac:dyDescent="0.2">
      <c r="A30" s="75"/>
      <c r="B30" s="11" t="s">
        <v>113</v>
      </c>
      <c r="C30" s="12" t="s">
        <v>112</v>
      </c>
      <c r="D30" s="32"/>
      <c r="E30" s="73"/>
      <c r="F30" s="12">
        <f t="shared" si="0"/>
        <v>0</v>
      </c>
      <c r="G30" s="12">
        <v>1</v>
      </c>
    </row>
    <row r="31" spans="1:7" ht="17" x14ac:dyDescent="0.2">
      <c r="A31" s="75"/>
      <c r="B31" s="11" t="s">
        <v>114</v>
      </c>
      <c r="C31" s="12" t="s">
        <v>112</v>
      </c>
      <c r="D31" s="32"/>
      <c r="E31" s="73"/>
      <c r="F31" s="12">
        <f t="shared" si="0"/>
        <v>0</v>
      </c>
      <c r="G31" s="12">
        <v>1</v>
      </c>
    </row>
    <row r="32" spans="1:7" ht="17" x14ac:dyDescent="0.2">
      <c r="A32" s="75"/>
      <c r="B32" s="11" t="s">
        <v>115</v>
      </c>
      <c r="C32" s="12" t="s">
        <v>112</v>
      </c>
      <c r="D32" s="32"/>
      <c r="E32" s="73"/>
      <c r="F32" s="12">
        <f t="shared" si="0"/>
        <v>0</v>
      </c>
      <c r="G32" s="12">
        <v>1</v>
      </c>
    </row>
    <row r="33" spans="1:7" ht="17" x14ac:dyDescent="0.2">
      <c r="A33" s="75"/>
      <c r="B33" s="11" t="s">
        <v>116</v>
      </c>
      <c r="C33" s="12" t="s">
        <v>112</v>
      </c>
      <c r="D33" s="32"/>
      <c r="E33" s="73"/>
      <c r="F33" s="12">
        <f t="shared" si="0"/>
        <v>0</v>
      </c>
      <c r="G33" s="12">
        <v>1</v>
      </c>
    </row>
    <row r="34" spans="1:7" ht="17" customHeight="1" x14ac:dyDescent="0.2">
      <c r="A34" s="75"/>
      <c r="B34" s="42" t="s">
        <v>118</v>
      </c>
      <c r="C34" s="43" t="s">
        <v>117</v>
      </c>
      <c r="D34" s="32"/>
      <c r="E34" s="73"/>
      <c r="F34" s="43">
        <f t="shared" si="0"/>
        <v>0</v>
      </c>
      <c r="G34" s="43">
        <v>1</v>
      </c>
    </row>
    <row r="35" spans="1:7" ht="17" x14ac:dyDescent="0.2">
      <c r="A35" s="75"/>
      <c r="B35" s="42" t="s">
        <v>123</v>
      </c>
      <c r="C35" s="43" t="s">
        <v>117</v>
      </c>
      <c r="D35" s="32"/>
      <c r="E35" s="73"/>
      <c r="F35" s="43">
        <f t="shared" si="0"/>
        <v>0</v>
      </c>
      <c r="G35" s="43">
        <v>2</v>
      </c>
    </row>
    <row r="36" spans="1:7" ht="17" x14ac:dyDescent="0.2">
      <c r="A36" s="75"/>
      <c r="B36" s="42" t="s">
        <v>119</v>
      </c>
      <c r="C36" s="43" t="s">
        <v>117</v>
      </c>
      <c r="D36" s="32"/>
      <c r="E36" s="73"/>
      <c r="F36" s="43">
        <f t="shared" si="0"/>
        <v>0</v>
      </c>
      <c r="G36" s="43">
        <v>1</v>
      </c>
    </row>
    <row r="37" spans="1:7" ht="17" customHeight="1" x14ac:dyDescent="0.2">
      <c r="A37" s="75"/>
      <c r="B37" s="11" t="s">
        <v>125</v>
      </c>
      <c r="C37" s="12" t="s">
        <v>124</v>
      </c>
      <c r="D37" s="32"/>
      <c r="E37" s="73"/>
      <c r="F37" s="12">
        <f t="shared" si="0"/>
        <v>0</v>
      </c>
      <c r="G37" s="12">
        <v>2</v>
      </c>
    </row>
    <row r="38" spans="1:7" ht="17" x14ac:dyDescent="0.2">
      <c r="A38" s="75"/>
      <c r="B38" s="11" t="s">
        <v>126</v>
      </c>
      <c r="C38" s="12" t="s">
        <v>124</v>
      </c>
      <c r="D38" s="32"/>
      <c r="E38" s="73"/>
      <c r="F38" s="12">
        <f t="shared" si="0"/>
        <v>0</v>
      </c>
      <c r="G38" s="12">
        <v>3</v>
      </c>
    </row>
    <row r="39" spans="1:7" ht="17" x14ac:dyDescent="0.2">
      <c r="A39" s="75"/>
      <c r="B39" s="11" t="s">
        <v>127</v>
      </c>
      <c r="C39" s="12" t="s">
        <v>124</v>
      </c>
      <c r="D39" s="32"/>
      <c r="E39" s="73"/>
      <c r="F39" s="12">
        <f t="shared" si="0"/>
        <v>0</v>
      </c>
      <c r="G39" s="12">
        <v>1</v>
      </c>
    </row>
    <row r="40" spans="1:7" ht="17" x14ac:dyDescent="0.2">
      <c r="A40" s="75"/>
      <c r="B40" s="11" t="s">
        <v>128</v>
      </c>
      <c r="C40" s="12" t="s">
        <v>124</v>
      </c>
      <c r="D40" s="32"/>
      <c r="E40" s="73"/>
      <c r="F40" s="12">
        <f t="shared" si="0"/>
        <v>0</v>
      </c>
      <c r="G40" s="12">
        <v>1</v>
      </c>
    </row>
    <row r="41" spans="1:7" ht="17" customHeight="1" x14ac:dyDescent="0.2">
      <c r="A41" s="75"/>
      <c r="B41" s="6" t="s">
        <v>130</v>
      </c>
      <c r="C41" s="7" t="s">
        <v>129</v>
      </c>
      <c r="D41" s="32"/>
      <c r="E41" s="73"/>
      <c r="F41" s="7">
        <f t="shared" si="0"/>
        <v>0</v>
      </c>
      <c r="G41" s="7">
        <v>3</v>
      </c>
    </row>
    <row r="42" spans="1:7" ht="17" customHeight="1" x14ac:dyDescent="0.2">
      <c r="A42" s="75"/>
      <c r="B42" s="6" t="s">
        <v>133</v>
      </c>
      <c r="C42" s="7" t="s">
        <v>129</v>
      </c>
      <c r="D42" s="32"/>
      <c r="E42" s="73"/>
      <c r="F42" s="7">
        <f t="shared" si="0"/>
        <v>0</v>
      </c>
      <c r="G42" s="7">
        <v>2</v>
      </c>
    </row>
    <row r="43" spans="1:7" ht="17" x14ac:dyDescent="0.2">
      <c r="A43" s="75"/>
      <c r="B43" s="6" t="s">
        <v>134</v>
      </c>
      <c r="C43" s="7" t="s">
        <v>129</v>
      </c>
      <c r="D43" s="32"/>
      <c r="E43" s="73"/>
      <c r="F43" s="7">
        <f t="shared" si="0"/>
        <v>0</v>
      </c>
      <c r="G43" s="7">
        <v>1</v>
      </c>
    </row>
    <row r="44" spans="1:7" ht="17" x14ac:dyDescent="0.2">
      <c r="A44" s="75"/>
      <c r="B44" s="6" t="s">
        <v>131</v>
      </c>
      <c r="C44" s="7" t="s">
        <v>129</v>
      </c>
      <c r="D44" s="32"/>
      <c r="E44" s="73"/>
      <c r="F44" s="7">
        <f t="shared" si="0"/>
        <v>0</v>
      </c>
      <c r="G44" s="7">
        <v>3</v>
      </c>
    </row>
    <row r="45" spans="1:7" ht="17" x14ac:dyDescent="0.2">
      <c r="A45" s="75"/>
      <c r="B45" s="6" t="s">
        <v>132</v>
      </c>
      <c r="C45" s="7" t="s">
        <v>129</v>
      </c>
      <c r="D45" s="32"/>
      <c r="E45" s="73"/>
      <c r="F45" s="7">
        <f t="shared" si="0"/>
        <v>0</v>
      </c>
      <c r="G45" s="7">
        <v>1</v>
      </c>
    </row>
    <row r="46" spans="1:7" ht="34" x14ac:dyDescent="0.2">
      <c r="A46" s="75"/>
      <c r="B46" s="11" t="s">
        <v>68</v>
      </c>
      <c r="C46" s="12" t="s">
        <v>69</v>
      </c>
      <c r="D46" s="32"/>
      <c r="E46" s="73"/>
      <c r="F46" s="12">
        <f>SUMPRODUCT((D46="Yes")*G46)</f>
        <v>0</v>
      </c>
      <c r="G46" s="12">
        <v>3</v>
      </c>
    </row>
    <row r="47" spans="1:7" ht="17" x14ac:dyDescent="0.2">
      <c r="A47" s="76"/>
      <c r="B47" s="11" t="s">
        <v>70</v>
      </c>
      <c r="C47" s="12" t="s">
        <v>69</v>
      </c>
      <c r="D47" s="32"/>
      <c r="E47" s="73"/>
      <c r="F47" s="12">
        <f t="shared" si="0"/>
        <v>0</v>
      </c>
      <c r="G47" s="12">
        <v>5</v>
      </c>
    </row>
    <row r="48" spans="1:7" ht="16" customHeight="1" x14ac:dyDescent="0.2">
      <c r="A48" s="68" t="s">
        <v>36</v>
      </c>
      <c r="B48" s="69"/>
      <c r="C48" s="60" t="s">
        <v>37</v>
      </c>
      <c r="D48" s="60"/>
      <c r="E48" s="60"/>
      <c r="F48" s="5">
        <f>SUM(F10,F12:F47)</f>
        <v>0</v>
      </c>
      <c r="G48" s="12">
        <f>SUM(G10,G12:G47)</f>
        <v>106</v>
      </c>
    </row>
    <row r="49" spans="1:7" ht="78" customHeight="1" x14ac:dyDescent="0.2">
      <c r="A49" s="68"/>
      <c r="B49" s="69"/>
      <c r="C49" s="60" t="s">
        <v>38</v>
      </c>
      <c r="D49" s="60"/>
      <c r="E49" s="60"/>
      <c r="F49" s="29">
        <f>F48/G48</f>
        <v>0</v>
      </c>
      <c r="G49" s="13"/>
    </row>
  </sheetData>
  <mergeCells count="7">
    <mergeCell ref="E14:E47"/>
    <mergeCell ref="B48:B49"/>
    <mergeCell ref="A48:A49"/>
    <mergeCell ref="C48:E48"/>
    <mergeCell ref="C49:E49"/>
    <mergeCell ref="A1:A47"/>
    <mergeCell ref="C11:G11"/>
  </mergeCells>
  <dataValidations count="1">
    <dataValidation type="list" allowBlank="1" showInputMessage="1" showErrorMessage="1" sqref="D2:D10 D12:D47" xr:uid="{132E87BB-DFEF-EE47-869C-0B7D750F24C1}">
      <formula1>"Yes,No"</formula1>
    </dataValidation>
  </dataValidations>
  <pageMargins left="0.7" right="0.7" top="0.75" bottom="0.75" header="0.3" footer="0.3"/>
  <pageSetup scale="61"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24AA7-61B8-5A49-94DF-35D00C6063F7}">
  <sheetPr>
    <pageSetUpPr fitToPage="1"/>
  </sheetPr>
  <dimension ref="A1:G21"/>
  <sheetViews>
    <sheetView topLeftCell="A7" workbookViewId="0">
      <selection activeCell="C9" sqref="C9:G9"/>
    </sheetView>
  </sheetViews>
  <sheetFormatPr baseColWidth="10" defaultColWidth="11" defaultRowHeight="16" x14ac:dyDescent="0.2"/>
  <cols>
    <col min="2" max="2" width="99.83203125" customWidth="1"/>
    <col min="3" max="3" width="14" customWidth="1"/>
    <col min="5" max="5" width="26.1640625" customWidth="1"/>
  </cols>
  <sheetData>
    <row r="1" spans="1:7" ht="54" customHeight="1" x14ac:dyDescent="0.2">
      <c r="A1" s="74" t="s">
        <v>71</v>
      </c>
      <c r="B1" s="22" t="s">
        <v>72</v>
      </c>
      <c r="C1" s="3" t="s">
        <v>15</v>
      </c>
      <c r="D1" s="3" t="s">
        <v>16</v>
      </c>
      <c r="E1" s="3" t="s">
        <v>17</v>
      </c>
      <c r="F1" s="3" t="s">
        <v>18</v>
      </c>
      <c r="G1" s="3" t="s">
        <v>19</v>
      </c>
    </row>
    <row r="2" spans="1:7" x14ac:dyDescent="0.2">
      <c r="A2" s="81"/>
      <c r="B2" s="25" t="s">
        <v>41</v>
      </c>
      <c r="C2" s="12" t="s">
        <v>42</v>
      </c>
      <c r="D2" s="32"/>
      <c r="E2" s="10" t="s">
        <v>22</v>
      </c>
      <c r="F2" s="14">
        <v>0</v>
      </c>
      <c r="G2" s="12">
        <v>0</v>
      </c>
    </row>
    <row r="3" spans="1:7" s="1" customFormat="1" ht="17" x14ac:dyDescent="0.2">
      <c r="A3" s="81"/>
      <c r="B3" s="11" t="s">
        <v>73</v>
      </c>
      <c r="C3" s="11" t="s">
        <v>42</v>
      </c>
      <c r="D3" s="32"/>
      <c r="E3" s="24" t="s">
        <v>22</v>
      </c>
      <c r="F3" s="26">
        <v>0</v>
      </c>
      <c r="G3" s="11">
        <v>0</v>
      </c>
    </row>
    <row r="4" spans="1:7" x14ac:dyDescent="0.2">
      <c r="A4" s="81"/>
      <c r="B4" s="12" t="s">
        <v>74</v>
      </c>
      <c r="C4" s="12" t="s">
        <v>42</v>
      </c>
      <c r="D4" s="32"/>
      <c r="E4" s="10" t="s">
        <v>22</v>
      </c>
      <c r="F4" s="14">
        <v>0</v>
      </c>
      <c r="G4" s="12">
        <v>0</v>
      </c>
    </row>
    <row r="5" spans="1:7" ht="17" x14ac:dyDescent="0.2">
      <c r="A5" s="81"/>
      <c r="B5" s="12" t="s">
        <v>75</v>
      </c>
      <c r="C5" s="11" t="s">
        <v>42</v>
      </c>
      <c r="D5" s="32"/>
      <c r="E5" s="10" t="s">
        <v>22</v>
      </c>
      <c r="F5" s="14">
        <v>0</v>
      </c>
      <c r="G5" s="12">
        <v>0</v>
      </c>
    </row>
    <row r="6" spans="1:7" x14ac:dyDescent="0.2">
      <c r="A6" s="81"/>
      <c r="B6" s="12" t="s">
        <v>76</v>
      </c>
      <c r="C6" s="12" t="s">
        <v>42</v>
      </c>
      <c r="D6" s="32"/>
      <c r="E6" s="10" t="s">
        <v>22</v>
      </c>
      <c r="F6" s="14">
        <v>0</v>
      </c>
      <c r="G6" s="12">
        <v>0</v>
      </c>
    </row>
    <row r="7" spans="1:7" ht="17" x14ac:dyDescent="0.2">
      <c r="A7" s="81"/>
      <c r="B7" s="12" t="s">
        <v>77</v>
      </c>
      <c r="C7" s="11" t="s">
        <v>42</v>
      </c>
      <c r="D7" s="32"/>
      <c r="E7" s="10" t="s">
        <v>22</v>
      </c>
      <c r="F7" s="14">
        <v>0</v>
      </c>
      <c r="G7" s="12">
        <v>0</v>
      </c>
    </row>
    <row r="8" spans="1:7" ht="34" x14ac:dyDescent="0.2">
      <c r="A8" s="81"/>
      <c r="B8" s="6" t="s">
        <v>78</v>
      </c>
      <c r="C8" s="7" t="s">
        <v>79</v>
      </c>
      <c r="D8" s="32"/>
      <c r="E8" s="30" t="s">
        <v>80</v>
      </c>
      <c r="F8" s="7">
        <f>IF(D8="65-100%", 15, IF(D8="50-64%", 10, IF(D8="40-49%", 5, 0)))</f>
        <v>0</v>
      </c>
      <c r="G8" s="7">
        <v>15</v>
      </c>
    </row>
    <row r="9" spans="1:7" ht="121" customHeight="1" x14ac:dyDescent="0.2">
      <c r="A9" s="81"/>
      <c r="B9" s="40" t="s">
        <v>101</v>
      </c>
      <c r="C9" s="86"/>
      <c r="D9" s="87"/>
      <c r="E9" s="87"/>
      <c r="F9" s="87"/>
      <c r="G9" s="88"/>
    </row>
    <row r="10" spans="1:7" ht="34" x14ac:dyDescent="0.2">
      <c r="A10" s="81"/>
      <c r="B10" s="6" t="s">
        <v>102</v>
      </c>
      <c r="C10" s="7" t="s">
        <v>79</v>
      </c>
      <c r="D10" s="41"/>
      <c r="E10" s="30" t="s">
        <v>81</v>
      </c>
      <c r="F10" s="7">
        <f>SUMPRODUCT((D10="All")*15+(D10="1-3")*10+(D10="4-7")*5)</f>
        <v>0</v>
      </c>
      <c r="G10" s="7">
        <v>15</v>
      </c>
    </row>
    <row r="11" spans="1:7" ht="17" x14ac:dyDescent="0.2">
      <c r="A11" s="81"/>
      <c r="B11" s="12" t="s">
        <v>82</v>
      </c>
      <c r="C11" s="11" t="s">
        <v>83</v>
      </c>
      <c r="D11" s="32"/>
      <c r="E11" s="10" t="s">
        <v>84</v>
      </c>
      <c r="F11" s="12">
        <f>SUMPRODUCT((D11="Yes")*5)</f>
        <v>0</v>
      </c>
      <c r="G11" s="12">
        <v>5</v>
      </c>
    </row>
    <row r="12" spans="1:7" x14ac:dyDescent="0.2">
      <c r="A12" s="81"/>
      <c r="B12" s="12" t="s">
        <v>85</v>
      </c>
      <c r="C12" s="12" t="s">
        <v>83</v>
      </c>
      <c r="D12" s="32"/>
      <c r="E12" s="10" t="s">
        <v>84</v>
      </c>
      <c r="F12" s="12">
        <f>SUMPRODUCT((D12="Yes")*5)</f>
        <v>0</v>
      </c>
      <c r="G12" s="12">
        <v>5</v>
      </c>
    </row>
    <row r="13" spans="1:7" ht="99" customHeight="1" x14ac:dyDescent="0.2">
      <c r="A13" s="81"/>
      <c r="B13" s="40" t="s">
        <v>100</v>
      </c>
      <c r="C13" s="80"/>
      <c r="D13" s="80"/>
      <c r="E13" s="80"/>
      <c r="F13" s="80"/>
      <c r="G13" s="80"/>
    </row>
    <row r="14" spans="1:7" ht="16" customHeight="1" x14ac:dyDescent="0.2">
      <c r="A14" s="81"/>
      <c r="B14" s="12" t="s">
        <v>86</v>
      </c>
      <c r="C14" s="12" t="s">
        <v>6</v>
      </c>
      <c r="D14" s="32"/>
      <c r="E14" s="83" t="s">
        <v>87</v>
      </c>
      <c r="F14" s="12">
        <f>D14</f>
        <v>0</v>
      </c>
      <c r="G14" s="12">
        <v>3</v>
      </c>
    </row>
    <row r="15" spans="1:7" x14ac:dyDescent="0.2">
      <c r="A15" s="81"/>
      <c r="B15" s="12" t="s">
        <v>88</v>
      </c>
      <c r="C15" s="12" t="s">
        <v>6</v>
      </c>
      <c r="D15" s="32"/>
      <c r="E15" s="84"/>
      <c r="F15" s="12">
        <f t="shared" ref="F15:F19" si="0">D15</f>
        <v>0</v>
      </c>
      <c r="G15" s="12">
        <v>3</v>
      </c>
    </row>
    <row r="16" spans="1:7" x14ac:dyDescent="0.2">
      <c r="A16" s="81"/>
      <c r="B16" s="12" t="s">
        <v>89</v>
      </c>
      <c r="C16" s="12" t="s">
        <v>6</v>
      </c>
      <c r="D16" s="32"/>
      <c r="E16" s="84"/>
      <c r="F16" s="12">
        <f t="shared" si="0"/>
        <v>0</v>
      </c>
      <c r="G16" s="12">
        <v>3</v>
      </c>
    </row>
    <row r="17" spans="1:7" x14ac:dyDescent="0.2">
      <c r="A17" s="81"/>
      <c r="B17" s="12" t="s">
        <v>90</v>
      </c>
      <c r="C17" s="12" t="s">
        <v>6</v>
      </c>
      <c r="D17" s="32"/>
      <c r="E17" s="84"/>
      <c r="F17" s="12">
        <f t="shared" si="0"/>
        <v>0</v>
      </c>
      <c r="G17" s="12">
        <v>3</v>
      </c>
    </row>
    <row r="18" spans="1:7" x14ac:dyDescent="0.2">
      <c r="A18" s="81"/>
      <c r="B18" s="12" t="s">
        <v>91</v>
      </c>
      <c r="C18" s="12" t="s">
        <v>6</v>
      </c>
      <c r="D18" s="32"/>
      <c r="E18" s="84"/>
      <c r="F18" s="12">
        <f t="shared" si="0"/>
        <v>0</v>
      </c>
      <c r="G18" s="12">
        <v>3</v>
      </c>
    </row>
    <row r="19" spans="1:7" x14ac:dyDescent="0.2">
      <c r="A19" s="82"/>
      <c r="B19" s="12" t="s">
        <v>92</v>
      </c>
      <c r="C19" s="12" t="s">
        <v>6</v>
      </c>
      <c r="D19" s="32"/>
      <c r="E19" s="85"/>
      <c r="F19" s="12">
        <f t="shared" si="0"/>
        <v>0</v>
      </c>
      <c r="G19" s="12">
        <v>3</v>
      </c>
    </row>
    <row r="20" spans="1:7" x14ac:dyDescent="0.2">
      <c r="A20" s="68" t="s">
        <v>36</v>
      </c>
      <c r="B20" s="69"/>
      <c r="C20" s="60" t="s">
        <v>37</v>
      </c>
      <c r="D20" s="60"/>
      <c r="E20" s="60"/>
      <c r="F20" s="12">
        <f>SUM(F8:F12,F14:F19)</f>
        <v>0</v>
      </c>
      <c r="G20" s="12">
        <f>SUM(G8,G10:G12,G14:G19)</f>
        <v>58</v>
      </c>
    </row>
    <row r="21" spans="1:7" ht="112.5" customHeight="1" x14ac:dyDescent="0.2">
      <c r="A21" s="68"/>
      <c r="B21" s="69"/>
      <c r="C21" s="60" t="s">
        <v>38</v>
      </c>
      <c r="D21" s="60"/>
      <c r="E21" s="60"/>
      <c r="F21" s="29">
        <f>F20/G20</f>
        <v>0</v>
      </c>
      <c r="G21" s="13"/>
    </row>
  </sheetData>
  <mergeCells count="8">
    <mergeCell ref="C13:G13"/>
    <mergeCell ref="A20:A21"/>
    <mergeCell ref="B20:B21"/>
    <mergeCell ref="C20:E20"/>
    <mergeCell ref="C21:E21"/>
    <mergeCell ref="A1:A19"/>
    <mergeCell ref="E14:E19"/>
    <mergeCell ref="C9:G9"/>
  </mergeCells>
  <dataValidations count="4">
    <dataValidation type="list" allowBlank="1" showInputMessage="1" showErrorMessage="1" sqref="D11:D12 D2:D7" xr:uid="{514FCEF3-9801-0748-BA07-B15F18F5D05B}">
      <formula1>"Yes,No"</formula1>
    </dataValidation>
    <dataValidation type="list" allowBlank="1" showInputMessage="1" showErrorMessage="1" sqref="D10" xr:uid="{2DB9EC27-8704-0845-8550-E1D615B41D6E}">
      <formula1>"All,1-3,4-7,&gt;7"</formula1>
    </dataValidation>
    <dataValidation type="list" allowBlank="1" showInputMessage="1" showErrorMessage="1" sqref="D14:D19" xr:uid="{404E962C-D36D-9C45-98F9-32EBCFA7F0FA}">
      <formula1>"0,1,2,3"</formula1>
    </dataValidation>
    <dataValidation type="list" allowBlank="1" showInputMessage="1" showErrorMessage="1" sqref="D8" xr:uid="{0DA75BC2-4D09-7748-AE1A-09B8517F8894}">
      <formula1>"65-100%,50-64%,40-49%,&lt;49%"</formula1>
    </dataValidation>
  </dataValidations>
  <pageMargins left="0.7" right="0.7" top="0.75" bottom="0.75" header="0.3" footer="0.3"/>
  <pageSetup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77C2-97B9-2E40-B40F-0735B688E9AF}">
  <dimension ref="A1:G5"/>
  <sheetViews>
    <sheetView workbookViewId="0">
      <selection activeCell="B12" sqref="B12"/>
    </sheetView>
  </sheetViews>
  <sheetFormatPr baseColWidth="10" defaultRowHeight="16" x14ac:dyDescent="0.2"/>
  <cols>
    <col min="1" max="1" width="23.33203125" customWidth="1"/>
    <col min="2" max="2" width="74.83203125" customWidth="1"/>
  </cols>
  <sheetData>
    <row r="1" spans="1:7" ht="65" customHeight="1" x14ac:dyDescent="0.2">
      <c r="A1" s="57" t="s">
        <v>93</v>
      </c>
      <c r="B1" s="44" t="s">
        <v>94</v>
      </c>
      <c r="C1" s="45" t="s">
        <v>15</v>
      </c>
      <c r="D1" s="45" t="s">
        <v>16</v>
      </c>
      <c r="E1" s="45" t="s">
        <v>17</v>
      </c>
      <c r="F1" s="45" t="s">
        <v>18</v>
      </c>
      <c r="G1" s="45" t="s">
        <v>19</v>
      </c>
    </row>
    <row r="2" spans="1:7" ht="19" customHeight="1" x14ac:dyDescent="0.2">
      <c r="A2" s="58"/>
      <c r="B2" s="46" t="s">
        <v>95</v>
      </c>
      <c r="C2" s="47"/>
      <c r="D2" s="48"/>
      <c r="E2" s="48"/>
      <c r="F2" s="48"/>
      <c r="G2" s="49"/>
    </row>
    <row r="3" spans="1:7" ht="18" customHeight="1" x14ac:dyDescent="0.2">
      <c r="A3" s="59"/>
      <c r="B3" s="6"/>
      <c r="C3" s="7" t="s">
        <v>96</v>
      </c>
      <c r="D3" s="32"/>
      <c r="E3" s="9" t="s">
        <v>97</v>
      </c>
      <c r="F3" s="7">
        <f>IF(LOWER(D3)="yes", 1, 0)</f>
        <v>0</v>
      </c>
      <c r="G3" s="7">
        <v>1</v>
      </c>
    </row>
    <row r="4" spans="1:7" x14ac:dyDescent="0.2">
      <c r="A4" s="50" t="s">
        <v>36</v>
      </c>
      <c r="B4" s="51"/>
      <c r="C4" s="53" t="s">
        <v>37</v>
      </c>
      <c r="D4" s="53"/>
      <c r="E4" s="53"/>
      <c r="F4" s="5">
        <f>F3</f>
        <v>0</v>
      </c>
      <c r="G4" s="12">
        <v>1</v>
      </c>
    </row>
    <row r="5" spans="1:7" x14ac:dyDescent="0.2">
      <c r="A5" s="50"/>
      <c r="B5" s="52"/>
      <c r="C5" s="54" t="s">
        <v>38</v>
      </c>
      <c r="D5" s="55"/>
      <c r="E5" s="56"/>
      <c r="F5" s="29">
        <f>F4/G4</f>
        <v>0</v>
      </c>
      <c r="G5" s="13"/>
    </row>
  </sheetData>
  <mergeCells count="6">
    <mergeCell ref="C2:G2"/>
    <mergeCell ref="A4:A5"/>
    <mergeCell ref="B4:B5"/>
    <mergeCell ref="C4:E4"/>
    <mergeCell ref="C5:E5"/>
    <mergeCell ref="A1:A3"/>
  </mergeCells>
  <dataValidations count="1">
    <dataValidation type="list" allowBlank="1" showInputMessage="1" showErrorMessage="1" sqref="D3" xr:uid="{6345EDE5-3915-5143-A4E3-B71C5BFA0B46}">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Design</vt:lpstr>
      <vt:lpstr>Code</vt:lpstr>
      <vt:lpstr>Testing</vt:lpstr>
      <vt:lpstr>Bonus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 Barcomb</dc:creator>
  <cp:keywords/>
  <dc:description/>
  <cp:lastModifiedBy>-</cp:lastModifiedBy>
  <cp:revision/>
  <dcterms:created xsi:type="dcterms:W3CDTF">2024-12-28T18:01:55Z</dcterms:created>
  <dcterms:modified xsi:type="dcterms:W3CDTF">2026-03-17T02:09:10Z</dcterms:modified>
  <cp:category/>
  <cp:contentStatus/>
</cp:coreProperties>
</file>